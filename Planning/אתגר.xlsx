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mailarielac-my.sharepoint.com/personal/itamar_babai_msmail_ariel_ac_il/Documents/Documents/לימודים/שנה ג/פיתוח משחקי מחשב/מתגלגלת 8/"/>
    </mc:Choice>
  </mc:AlternateContent>
  <xr:revisionPtr revIDLastSave="175" documentId="8_{DA825DDD-8133-4DDB-801F-E36E758068E0}" xr6:coauthVersionLast="47" xr6:coauthVersionMax="47" xr10:uidLastSave="{25E2AC5D-BF4F-4863-8F87-CAA7820023D4}"/>
  <bookViews>
    <workbookView xWindow="-110" yWindow="-110" windowWidth="19420" windowHeight="11500" tabRatio="500" xr2:uid="{00000000-000D-0000-FFFF-FFFF00000000}"/>
  </bookViews>
  <sheets>
    <sheet name="Sababich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" i="2" l="1"/>
  <c r="G4" i="2"/>
  <c r="H4" i="2" s="1"/>
  <c r="J4" i="2" s="1"/>
  <c r="G5" i="2"/>
  <c r="H5" i="2" s="1"/>
  <c r="J5" i="2" s="1"/>
  <c r="G3" i="2"/>
  <c r="H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itamar</author>
  </authors>
  <commentList>
    <comment ref="F1" authorId="0" shapeId="0" xr:uid="{CEA5743F-45B2-4DB9-8249-4276D9B83080}">
      <text>
        <r>
          <rPr>
            <b/>
            <sz val="9"/>
            <color indexed="81"/>
            <rFont val="Tahoma"/>
            <family val="2"/>
          </rPr>
          <t>itamar:</t>
        </r>
        <r>
          <rPr>
            <sz val="9"/>
            <color indexed="81"/>
            <rFont val="Tahoma"/>
            <family val="2"/>
          </rPr>
          <t xml:space="preserve">
כמה אנחנו מצפים ששחקן סביר ידייק ברמה זו</t>
        </r>
      </text>
    </comment>
    <comment ref="G1" authorId="0" shapeId="0" xr:uid="{297A7C91-FD6D-4A65-8583-0D45B5FE90C3}">
      <text>
        <r>
          <rPr>
            <b/>
            <sz val="9"/>
            <color indexed="81"/>
            <rFont val="Tahoma"/>
            <family val="2"/>
          </rPr>
          <t>itamar:</t>
        </r>
        <r>
          <rPr>
            <sz val="9"/>
            <color indexed="81"/>
            <rFont val="Tahoma"/>
            <family val="2"/>
          </rPr>
          <t xml:space="preserve">
בהינתן רמת הדיוק המוצפה, כמה מינימום מנות מוצלחות צריך כדי להצליח לעבור
ערך עליון</t>
        </r>
      </text>
    </comment>
    <comment ref="H1" authorId="0" shapeId="0" xr:uid="{FA784FC6-716C-442A-A78B-6BC703FA4CB3}">
      <text>
        <r>
          <rPr>
            <b/>
            <sz val="9"/>
            <color indexed="81"/>
            <rFont val="Tahoma"/>
            <family val="2"/>
          </rPr>
          <t>itamar:</t>
        </r>
        <r>
          <rPr>
            <sz val="9"/>
            <color indexed="81"/>
            <rFont val="Tahoma"/>
            <family val="2"/>
          </rPr>
          <t xml:space="preserve">
מספר מנות נדרשות מינימלי כפול מספר הרכיבים, חלקי הזמן</t>
        </r>
      </text>
    </comment>
    <comment ref="J1" authorId="0" shapeId="0" xr:uid="{DE5239AB-E425-4553-8F65-EF55AF69F72D}">
      <text>
        <r>
          <rPr>
            <b/>
            <sz val="9"/>
            <color indexed="81"/>
            <rFont val="Tahoma"/>
            <family val="2"/>
          </rPr>
          <t>itamar:</t>
        </r>
        <r>
          <rPr>
            <sz val="9"/>
            <color indexed="81"/>
            <rFont val="Tahoma"/>
            <family val="2"/>
          </rPr>
          <t xml:space="preserve">
הכפלת קצב העבודה הנדרש ברמת הדיוק כדי לדמות את מרכיב הלחץ</t>
        </r>
      </text>
    </comment>
  </commentList>
</comments>
</file>

<file path=xl/sharedStrings.xml><?xml version="1.0" encoding="utf-8"?>
<sst xmlns="http://schemas.openxmlformats.org/spreadsheetml/2006/main" count="18" uniqueCount="18">
  <si>
    <t>רמה 1</t>
  </si>
  <si>
    <t>רמה 2</t>
  </si>
  <si>
    <t>רמה 3</t>
  </si>
  <si>
    <t>מיקומים</t>
  </si>
  <si>
    <t>רמות</t>
  </si>
  <si>
    <t>ארה"ב - החסרת 2 רכיבים מצד הלקוח, נוסף טיגון צ'יפס</t>
  </si>
  <si>
    <t>ישראל (סה"כ 6 רכיבים)</t>
  </si>
  <si>
    <t xml:space="preserve">יפן (סה"כ </t>
  </si>
  <si>
    <t>רמת האתגר</t>
  </si>
  <si>
    <t>יעד - G</t>
  </si>
  <si>
    <t>זמן - T</t>
  </si>
  <si>
    <t>מספר מרכיבים - I</t>
  </si>
  <si>
    <t>רמת דיוק לשחקן "סביר" - P</t>
  </si>
  <si>
    <t>G/(30*P)</t>
  </si>
  <si>
    <t>מספר מנות מינימלי למנות מוצלחות בהתאם לרמת דיוק - K</t>
  </si>
  <si>
    <t>יחס פעולה לשניה - WR</t>
  </si>
  <si>
    <t>(K*I)/T</t>
  </si>
  <si>
    <t>WR*P*100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</si>
</sst>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8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 Unicode MS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Border="0" applyProtection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2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/>
    </xf>
    <xf numFmtId="164" fontId="4" fillId="0" borderId="0" xfId="1" applyBorder="1" applyProtection="1"/>
    <xf numFmtId="0" fontId="5" fillId="0" borderId="0" xfId="0" applyFont="1"/>
    <xf numFmtId="0" fontId="1" fillId="3" borderId="0" xfId="0" applyFont="1" applyFill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Expected Damage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Sababich!#REF!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Sababich!#REF!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Sababich!#REF!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D6B-4151-9614-8B6430403875}"/>
            </c:ext>
          </c:extLst>
        </c:ser>
        <c:ser>
          <c:idx val="1"/>
          <c:order val="1"/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Sababich!#REF!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Sababich!#REF!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Sababich!#REF!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D6B-4151-9614-8B6430403875}"/>
            </c:ext>
          </c:extLst>
        </c:ser>
        <c:ser>
          <c:idx val="2"/>
          <c:order val="2"/>
          <c:spPr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Sababich!#REF!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Sababich!#REF!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Sababich!#REF!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D6B-4151-9614-8B6430403875}"/>
            </c:ext>
          </c:extLst>
        </c:ser>
        <c:ser>
          <c:idx val="3"/>
          <c:order val="3"/>
          <c:spPr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Weapons!#REF!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Weapons!#REF!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Sababich!#REF!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D6B-4151-9614-8B6430403875}"/>
            </c:ext>
          </c:extLst>
        </c:ser>
        <c:ser>
          <c:idx val="4"/>
          <c:order val="4"/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Weapons!#REF!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Weapons!#REF!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Sababich!#REF!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D6B-4151-9614-8B6430403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39127026"/>
        <c:axId val="38845384"/>
      </c:lineChart>
      <c:catAx>
        <c:axId val="391270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8845384"/>
        <c:crosses val="autoZero"/>
        <c:auto val="1"/>
        <c:lblAlgn val="ctr"/>
        <c:lblOffset val="100"/>
        <c:noMultiLvlLbl val="0"/>
      </c:catAx>
      <c:valAx>
        <c:axId val="388453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.00_);_(* \(#,##0.0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9127026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רמת אתגר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Sababich!$J$3:$J$5</c:f>
              <c:numCache>
                <c:formatCode>_-* #,##0.00_-;\-* #,##0.00_-;_-* \-??_-;_-@_-</c:formatCode>
                <c:ptCount val="3"/>
                <c:pt idx="0">
                  <c:v>0.37333333333333335</c:v>
                </c:pt>
                <c:pt idx="1">
                  <c:v>0.4375</c:v>
                </c:pt>
                <c:pt idx="2">
                  <c:v>0.55999999999999994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B-454C-B6BF-B6B8E1C230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64131999"/>
        <c:axId val="2064138719"/>
      </c:barChart>
      <c:catAx>
        <c:axId val="206413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38719"/>
        <c:crosses val="autoZero"/>
        <c:auto val="1"/>
        <c:lblAlgn val="ctr"/>
        <c:lblOffset val="100"/>
        <c:noMultiLvlLbl val="0"/>
      </c:catAx>
      <c:valAx>
        <c:axId val="20641387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.00_-;\-* #,##0.00_-;_-* \-??_-;_-@_-" sourceLinked="1"/>
        <c:majorTickMark val="none"/>
        <c:minorTickMark val="none"/>
        <c:tickLblPos val="nextTo"/>
        <c:crossAx val="206413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115920</xdr:rowOff>
    </xdr:from>
    <xdr:ext cx="3394792" cy="2806239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8E14A6C0-C516-46A9-9F9A-110EC2089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</xdr:col>
      <xdr:colOff>2883647</xdr:colOff>
      <xdr:row>6</xdr:row>
      <xdr:rowOff>174812</xdr:rowOff>
    </xdr:from>
    <xdr:to>
      <xdr:col>7</xdr:col>
      <xdr:colOff>179294</xdr:colOff>
      <xdr:row>21</xdr:row>
      <xdr:rowOff>116541</xdr:rowOff>
    </xdr:to>
    <xdr:graphicFrame macro="">
      <xdr:nvGraphicFramePr>
        <xdr:cNvPr id="6" name="תרשים 5">
          <a:extLst>
            <a:ext uri="{FF2B5EF4-FFF2-40B4-BE49-F238E27FC236}">
              <a16:creationId xmlns:a16="http://schemas.microsoft.com/office/drawing/2014/main" id="{ACB0A7AD-4115-7FEA-79D5-0E11F50C7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2"/>
  <sheetViews>
    <sheetView tabSelected="1" zoomScale="85" zoomScaleNormal="85" workbookViewId="0">
      <selection activeCell="I21" sqref="I21"/>
    </sheetView>
  </sheetViews>
  <sheetFormatPr defaultColWidth="8.6328125" defaultRowHeight="14.5"/>
  <cols>
    <col min="1" max="1" width="5.54296875" bestFit="1" customWidth="1"/>
    <col min="2" max="2" width="41.6328125" bestFit="1" customWidth="1"/>
    <col min="3" max="3" width="6.26953125" bestFit="1" customWidth="1"/>
    <col min="4" max="4" width="5.7265625" bestFit="1" customWidth="1"/>
    <col min="5" max="5" width="14.7265625" customWidth="1"/>
    <col min="6" max="8" width="17.90625" customWidth="1"/>
    <col min="10" max="10" width="9.7265625" bestFit="1" customWidth="1"/>
  </cols>
  <sheetData>
    <row r="1" spans="1:38" s="3" customFormat="1" ht="43.5">
      <c r="A1" s="3" t="s">
        <v>4</v>
      </c>
      <c r="B1" s="3" t="s">
        <v>3</v>
      </c>
      <c r="C1" s="3" t="s">
        <v>9</v>
      </c>
      <c r="D1" s="3" t="s">
        <v>10</v>
      </c>
      <c r="E1" s="9" t="s">
        <v>11</v>
      </c>
      <c r="F1" s="9" t="s">
        <v>12</v>
      </c>
      <c r="G1" s="9" t="s">
        <v>14</v>
      </c>
      <c r="H1" s="9" t="s">
        <v>15</v>
      </c>
      <c r="I1" s="4"/>
      <c r="J1" s="3" t="s">
        <v>8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s="5" customFormat="1">
      <c r="A2" s="3"/>
      <c r="B2" s="3"/>
      <c r="G2" s="5" t="s">
        <v>13</v>
      </c>
      <c r="H2" s="5" t="s">
        <v>16</v>
      </c>
      <c r="I2" s="2"/>
      <c r="J2" s="6" t="s">
        <v>17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>
      <c r="A3" s="1" t="s">
        <v>0</v>
      </c>
      <c r="B3" t="s">
        <v>6</v>
      </c>
      <c r="C3">
        <v>150</v>
      </c>
      <c r="D3">
        <v>90</v>
      </c>
      <c r="E3">
        <v>6</v>
      </c>
      <c r="F3">
        <v>0.8</v>
      </c>
      <c r="G3">
        <f>_xlfn.CEILING.MATH(C3/(30*F3))</f>
        <v>7</v>
      </c>
      <c r="H3">
        <f>(G3*E3)/D3</f>
        <v>0.46666666666666667</v>
      </c>
      <c r="I3" s="2"/>
      <c r="J3" s="7">
        <f>H3*F3</f>
        <v>0.37333333333333335</v>
      </c>
    </row>
    <row r="4" spans="1:38">
      <c r="A4" s="1" t="s">
        <v>1</v>
      </c>
      <c r="B4" t="s">
        <v>7</v>
      </c>
      <c r="C4">
        <v>210</v>
      </c>
      <c r="D4">
        <v>120</v>
      </c>
      <c r="E4">
        <v>7</v>
      </c>
      <c r="F4">
        <v>0.75</v>
      </c>
      <c r="G4">
        <f t="shared" ref="G4:G5" si="0">_xlfn.CEILING.MATH(C4/(30*F4))</f>
        <v>10</v>
      </c>
      <c r="H4">
        <f t="shared" ref="H4:H5" si="1">(G4*E4)/D4</f>
        <v>0.58333333333333337</v>
      </c>
      <c r="I4" s="2"/>
      <c r="J4" s="7">
        <f t="shared" ref="J4:J5" si="2">H4*F4</f>
        <v>0.4375</v>
      </c>
    </row>
    <row r="5" spans="1:38">
      <c r="A5" s="1" t="s">
        <v>2</v>
      </c>
      <c r="B5" t="s">
        <v>5</v>
      </c>
      <c r="C5">
        <v>300</v>
      </c>
      <c r="D5">
        <v>150</v>
      </c>
      <c r="E5">
        <v>8</v>
      </c>
      <c r="F5">
        <v>0.7</v>
      </c>
      <c r="G5">
        <f t="shared" si="0"/>
        <v>15</v>
      </c>
      <c r="H5">
        <f t="shared" si="1"/>
        <v>0.8</v>
      </c>
      <c r="I5" s="2"/>
      <c r="J5" s="7">
        <f t="shared" si="2"/>
        <v>0.55999999999999994</v>
      </c>
    </row>
    <row r="6" spans="1:38">
      <c r="A6" s="1"/>
      <c r="B6" s="1"/>
    </row>
    <row r="7" spans="1:38">
      <c r="A7" s="1"/>
      <c r="B7" s="1"/>
    </row>
    <row r="8" spans="1:38">
      <c r="A8" s="1"/>
      <c r="B8" s="1"/>
    </row>
    <row r="9" spans="1:38">
      <c r="A9" s="1"/>
      <c r="B9" s="1"/>
    </row>
    <row r="10" spans="1:38">
      <c r="A10" s="1"/>
    </row>
    <row r="11" spans="1:38">
      <c r="A11" s="1"/>
      <c r="B11" s="8"/>
    </row>
    <row r="12" spans="1:38">
      <c r="A12" s="1"/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Sababich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ischreiber</dc:creator>
  <dc:description/>
  <cp:lastModifiedBy>איתמר בבאי</cp:lastModifiedBy>
  <cp:revision>1</cp:revision>
  <dcterms:created xsi:type="dcterms:W3CDTF">2016-03-10T00:02:06Z</dcterms:created>
  <dcterms:modified xsi:type="dcterms:W3CDTF">2025-12-26T06:27:33Z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Rochester Institute of Technology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